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3040" windowHeight="9075"/>
  </bookViews>
  <sheets>
    <sheet name="Hoja1" sheetId="1" r:id="rId1"/>
  </sheets>
  <definedNames>
    <definedName name="_Hlk70079310" localSheetId="0">Hoja1!$A$15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1" i="1" l="1"/>
  <c r="E102" i="1" s="1"/>
  <c r="F69" i="1"/>
  <c r="F74" i="1"/>
  <c r="F79" i="1"/>
  <c r="E57" i="1"/>
  <c r="F101" i="1" l="1"/>
  <c r="F96" i="1"/>
  <c r="E96" i="1"/>
  <c r="F91" i="1"/>
  <c r="E91" i="1"/>
  <c r="F86" i="1"/>
  <c r="E86" i="1"/>
  <c r="E79" i="1"/>
  <c r="E74" i="1"/>
  <c r="E69" i="1"/>
  <c r="F64" i="1"/>
  <c r="F80" i="1" s="1"/>
  <c r="E64" i="1"/>
  <c r="F57" i="1"/>
  <c r="F52" i="1"/>
  <c r="E52" i="1"/>
  <c r="F47" i="1"/>
  <c r="E47" i="1"/>
  <c r="F42" i="1"/>
  <c r="E42" i="1"/>
  <c r="F35" i="1"/>
  <c r="E35" i="1"/>
  <c r="F30" i="1"/>
  <c r="E30" i="1"/>
  <c r="F25" i="1"/>
  <c r="E25" i="1"/>
  <c r="F20" i="1"/>
  <c r="E20" i="1"/>
  <c r="E58" i="1" l="1"/>
  <c r="F36" i="1"/>
  <c r="F102" i="1"/>
  <c r="E80" i="1"/>
  <c r="F58" i="1"/>
  <c r="E36" i="1"/>
  <c r="E103" i="1" s="1"/>
  <c r="F103" i="1" l="1"/>
</calcChain>
</file>

<file path=xl/sharedStrings.xml><?xml version="1.0" encoding="utf-8"?>
<sst xmlns="http://schemas.openxmlformats.org/spreadsheetml/2006/main" count="333" uniqueCount="190">
  <si>
    <t>ÁREA DE CONOCIMIENTO DE TECNOLOGIA DE LAINFORMACIÓN Y LA COMUNICACIÓN</t>
  </si>
  <si>
    <r>
      <t xml:space="preserve">      </t>
    </r>
    <r>
      <rPr>
        <sz val="14"/>
        <color theme="1"/>
        <rFont val="Consolas"/>
        <family val="3"/>
      </rPr>
      <t>PRIMER AÑO</t>
    </r>
  </si>
  <si>
    <t xml:space="preserve">I </t>
  </si>
  <si>
    <t>Trimestre</t>
  </si>
  <si>
    <t>ADG-100</t>
  </si>
  <si>
    <t>MATEMÁTICA BÁSICA</t>
  </si>
  <si>
    <t>ADG-130</t>
  </si>
  <si>
    <t>ADG-120</t>
  </si>
  <si>
    <t>INFORMATICA I</t>
  </si>
  <si>
    <t xml:space="preserve">II </t>
  </si>
  <si>
    <t>ADG-150</t>
  </si>
  <si>
    <t>ESPAÑOL II</t>
  </si>
  <si>
    <t>ADG-135</t>
  </si>
  <si>
    <t>DIBUJO Y GEOMETRÍA DESCRIPTIVA I</t>
  </si>
  <si>
    <t>III</t>
  </si>
  <si>
    <t>ADG-145</t>
  </si>
  <si>
    <t>DIBUJO Y GEOMETRIA DESCRIPTIVA II</t>
  </si>
  <si>
    <t>INFORMATICA II</t>
  </si>
  <si>
    <t>IV</t>
  </si>
  <si>
    <t>ADG-125</t>
  </si>
  <si>
    <t>ADG-170</t>
  </si>
  <si>
    <t>INTRODUCCION A LOS SISTEMAS DE IMPRESION</t>
  </si>
  <si>
    <t>ADG-200</t>
  </si>
  <si>
    <r>
      <t xml:space="preserve">      </t>
    </r>
    <r>
      <rPr>
        <sz val="14"/>
        <color theme="1"/>
        <rFont val="Consolas"/>
        <family val="3"/>
      </rPr>
      <t>SEGUNDO AÑO</t>
    </r>
  </si>
  <si>
    <t>V</t>
  </si>
  <si>
    <t>ADG-165</t>
  </si>
  <si>
    <t>METODOLOGIA DE LA INVESTIGACION</t>
  </si>
  <si>
    <t>VI</t>
  </si>
  <si>
    <t>ADG-225</t>
  </si>
  <si>
    <t>TALLER DE DISEÑO Y COMUNICACIÓN VISUAL I</t>
  </si>
  <si>
    <t>ADG-220</t>
  </si>
  <si>
    <t>TIPOGRAFIA</t>
  </si>
  <si>
    <t>ADG-210</t>
  </si>
  <si>
    <t>DISEÑO GRAFICO COMPUTARIZADO II</t>
  </si>
  <si>
    <t>ADG-290</t>
  </si>
  <si>
    <t>VII</t>
  </si>
  <si>
    <t>ADG-245</t>
  </si>
  <si>
    <t>TALLER DE DISEÑO Y COMUNICACIÓN VISUAL II</t>
  </si>
  <si>
    <t>ADG-230</t>
  </si>
  <si>
    <t>SERIGRAFIA</t>
  </si>
  <si>
    <t>ADG-240</t>
  </si>
  <si>
    <t>ADG-275</t>
  </si>
  <si>
    <t>TALLER DE DISEÑO AUDIO VISUAL I</t>
  </si>
  <si>
    <t xml:space="preserve">VIII </t>
  </si>
  <si>
    <t>ADG-270</t>
  </si>
  <si>
    <t>TALLER DE DISEÑO Y COMUNICACIÓN VISUAL III</t>
  </si>
  <si>
    <t>ADG-265</t>
  </si>
  <si>
    <t>ADG-305</t>
  </si>
  <si>
    <r>
      <t xml:space="preserve">      </t>
    </r>
    <r>
      <rPr>
        <sz val="14"/>
        <color theme="1"/>
        <rFont val="Consolas"/>
        <family val="3"/>
      </rPr>
      <t>TERCER AÑO</t>
    </r>
  </si>
  <si>
    <t>IX</t>
  </si>
  <si>
    <t>ADG-300</t>
  </si>
  <si>
    <t>TALLER DE DISEÑO Y COMUNICACIÓN VISUAL IV</t>
  </si>
  <si>
    <t>ADG-320</t>
  </si>
  <si>
    <t>ADG-310</t>
  </si>
  <si>
    <t>TALLER DE DISEÑO AUDIO VISUAL II</t>
  </si>
  <si>
    <t>X</t>
  </si>
  <si>
    <t>ADG-345</t>
  </si>
  <si>
    <t>PRODUCCION DE FOTOGRAFIA Y VIDEO I</t>
  </si>
  <si>
    <t>ADG-335</t>
  </si>
  <si>
    <t>INTRODUCCION A LA PUBLICIDAD</t>
  </si>
  <si>
    <t>ADG-350</t>
  </si>
  <si>
    <t>DISEÑO EDITORIAL</t>
  </si>
  <si>
    <t>XI</t>
  </si>
  <si>
    <t>ADG-410</t>
  </si>
  <si>
    <t>PROMOCION DE VENTAS Y PUBLICIDAD</t>
  </si>
  <si>
    <t>ADG-420</t>
  </si>
  <si>
    <r>
      <t xml:space="preserve">      </t>
    </r>
    <r>
      <rPr>
        <sz val="10"/>
        <color theme="1"/>
        <rFont val="Consolas"/>
        <family val="3"/>
      </rPr>
      <t> </t>
    </r>
  </si>
  <si>
    <t xml:space="preserve">XII </t>
  </si>
  <si>
    <t>ADG-365</t>
  </si>
  <si>
    <t>REDACCIÓN PUBLICIDAD</t>
  </si>
  <si>
    <t>ADG-455</t>
  </si>
  <si>
    <t>ARTE DIGITAL II</t>
  </si>
  <si>
    <t>ADG-360</t>
  </si>
  <si>
    <t>LABORATORIO CREATIVO</t>
  </si>
  <si>
    <r>
      <t xml:space="preserve">      </t>
    </r>
    <r>
      <rPr>
        <sz val="14"/>
        <color theme="1"/>
        <rFont val="Consolas"/>
        <family val="3"/>
      </rPr>
      <t>CUARTO AÑO</t>
    </r>
  </si>
  <si>
    <t xml:space="preserve">XIII </t>
  </si>
  <si>
    <t>ADG-340</t>
  </si>
  <si>
    <t>DISEÑO DE ENVASES Y PRODUCTOS</t>
  </si>
  <si>
    <t>ADG-425</t>
  </si>
  <si>
    <t>COSTOS Y PRESUPUESTOS</t>
  </si>
  <si>
    <t>ADG-435</t>
  </si>
  <si>
    <t>ESTETICA</t>
  </si>
  <si>
    <t>P.I.D</t>
  </si>
  <si>
    <t>ADG-370</t>
  </si>
  <si>
    <t>ADG-415</t>
  </si>
  <si>
    <t>P.E.MOD.I</t>
  </si>
  <si>
    <t>ADG-440</t>
  </si>
  <si>
    <t>DISEÑO DE PAGINAS WEB I</t>
  </si>
  <si>
    <t>ADG-445</t>
  </si>
  <si>
    <t>PROYECTO DE CONFERENCIAS AUDIO-VISUALES</t>
  </si>
  <si>
    <t>ADG-475</t>
  </si>
  <si>
    <t>ARTE DIGITAL III</t>
  </si>
  <si>
    <t>P.E. MOD.II</t>
  </si>
  <si>
    <t>ADG-460</t>
  </si>
  <si>
    <t>DISEÑO DE PAGINAS WEB II</t>
  </si>
  <si>
    <t>DISEÑO ARTESANAL</t>
  </si>
  <si>
    <t>Régimen Académico</t>
  </si>
  <si>
    <t>CÓDIGO</t>
  </si>
  <si>
    <t>ASIGNATURA</t>
  </si>
  <si>
    <t>Tipo de Asignatura</t>
  </si>
  <si>
    <t>Créditos</t>
  </si>
  <si>
    <t>Pre-Requisito</t>
  </si>
  <si>
    <t xml:space="preserve"> PLAN DE ESTUDIO 2005</t>
  </si>
  <si>
    <t>Subtotal</t>
  </si>
  <si>
    <t xml:space="preserve">Total I año </t>
  </si>
  <si>
    <t>Total II año</t>
  </si>
  <si>
    <t>Total III año</t>
  </si>
  <si>
    <t xml:space="preserve">Total IV año </t>
  </si>
  <si>
    <t>Total General</t>
  </si>
  <si>
    <t>G</t>
  </si>
  <si>
    <t>B</t>
  </si>
  <si>
    <t>ADG-140</t>
  </si>
  <si>
    <t>ADG-155</t>
  </si>
  <si>
    <t>E</t>
  </si>
  <si>
    <t>ADG-215</t>
  </si>
  <si>
    <t>ADG-250</t>
  </si>
  <si>
    <t>ADG-400</t>
  </si>
  <si>
    <t>ADG-480</t>
  </si>
  <si>
    <t>ADG-380</t>
  </si>
  <si>
    <t xml:space="preserve">TOTAL ASIGNATURAS </t>
  </si>
  <si>
    <t xml:space="preserve">TOTAL PRE-REQUISISTOS </t>
  </si>
  <si>
    <r>
      <t xml:space="preserve">CARRERA: </t>
    </r>
    <r>
      <rPr>
        <sz val="11"/>
        <color theme="1"/>
        <rFont val="Calibri"/>
        <family val="2"/>
        <scheme val="minor"/>
      </rPr>
      <t>ARQUITECTURA EN DISEÑO GRAFICO</t>
    </r>
  </si>
  <si>
    <r>
      <rPr>
        <b/>
        <sz val="11"/>
        <color theme="1"/>
        <rFont val="Calibri"/>
        <family val="2"/>
        <scheme val="minor"/>
      </rPr>
      <t>Regimen Académico:</t>
    </r>
    <r>
      <rPr>
        <sz val="11"/>
        <color theme="1"/>
        <rFont val="Calibri"/>
        <family val="2"/>
        <scheme val="minor"/>
      </rPr>
      <t xml:space="preserve"> Trimestral</t>
    </r>
  </si>
  <si>
    <r>
      <rPr>
        <b/>
        <sz val="11"/>
        <color theme="1"/>
        <rFont val="Calibri"/>
        <family val="2"/>
        <scheme val="minor"/>
      </rPr>
      <t>Duración de la Carrera:</t>
    </r>
    <r>
      <rPr>
        <sz val="11"/>
        <color theme="1"/>
        <rFont val="Calibri"/>
        <family val="2"/>
        <scheme val="minor"/>
      </rPr>
      <t xml:space="preserve"> 4 Años</t>
    </r>
  </si>
  <si>
    <r>
      <rPr>
        <b/>
        <sz val="11"/>
        <color theme="1"/>
        <rFont val="Calibri"/>
        <family val="2"/>
        <scheme val="minor"/>
      </rPr>
      <t>Modalidad:</t>
    </r>
    <r>
      <rPr>
        <sz val="11"/>
        <color theme="1"/>
        <rFont val="Calibri"/>
        <family val="2"/>
        <scheme val="minor"/>
      </rPr>
      <t xml:space="preserve"> Semipresencial</t>
    </r>
  </si>
  <si>
    <r>
      <rPr>
        <b/>
        <sz val="11"/>
        <color theme="1"/>
        <rFont val="Calibri"/>
        <family val="2"/>
        <scheme val="minor"/>
      </rPr>
      <t>Título Ortogado:</t>
    </r>
    <r>
      <rPr>
        <sz val="11"/>
        <color theme="1"/>
        <rFont val="Calibri"/>
        <family val="2"/>
        <scheme val="minor"/>
      </rPr>
      <t xml:space="preserve"> Arquitecto</t>
    </r>
  </si>
  <si>
    <r>
      <t xml:space="preserve">Total de horas: </t>
    </r>
    <r>
      <rPr>
        <sz val="11"/>
        <color theme="1"/>
        <rFont val="Calibri"/>
        <family val="2"/>
        <scheme val="minor"/>
      </rPr>
      <t>1896</t>
    </r>
  </si>
  <si>
    <r>
      <t xml:space="preserve">Horas presenciales: </t>
    </r>
    <r>
      <rPr>
        <sz val="11"/>
        <color theme="1"/>
        <rFont val="Calibri"/>
        <family val="2"/>
        <scheme val="minor"/>
      </rPr>
      <t>1056</t>
    </r>
  </si>
  <si>
    <r>
      <t xml:space="preserve">Horas de autoestudio: </t>
    </r>
    <r>
      <rPr>
        <sz val="11"/>
        <color theme="1"/>
        <rFont val="Calibri"/>
        <family val="2"/>
        <scheme val="minor"/>
      </rPr>
      <t>840</t>
    </r>
  </si>
  <si>
    <r>
      <t xml:space="preserve">Total de Créditos Académicos: </t>
    </r>
    <r>
      <rPr>
        <sz val="11"/>
        <color theme="1"/>
        <rFont val="Calibri"/>
        <family val="2"/>
        <scheme val="minor"/>
      </rPr>
      <t>144</t>
    </r>
  </si>
  <si>
    <r>
      <t xml:space="preserve">  Grado a Obtener: </t>
    </r>
    <r>
      <rPr>
        <sz val="11"/>
        <color theme="1"/>
        <rFont val="Calibri"/>
        <family val="2"/>
        <scheme val="minor"/>
      </rPr>
      <t>Licenciatura</t>
    </r>
  </si>
  <si>
    <t>Total horas</t>
  </si>
  <si>
    <t>ADG-110</t>
  </si>
  <si>
    <t>Ingles Intensivo I (Gramatica )</t>
  </si>
  <si>
    <t>ADG-112</t>
  </si>
  <si>
    <t>INTRODUCCION A LA ARQUITECTURA EN DISEÑO GRAFICO</t>
  </si>
  <si>
    <t>ESPAÑOL I</t>
  </si>
  <si>
    <t xml:space="preserve">HISTORIA DEL DISEÑO GRAFICO </t>
  </si>
  <si>
    <t>ADG-115</t>
  </si>
  <si>
    <t>Ingles Intensivo II (Gramatica )</t>
  </si>
  <si>
    <t>adg-130</t>
  </si>
  <si>
    <t>Ingles Intensivo III (Gramatica )</t>
  </si>
  <si>
    <t>Diseño grafico computarizado I</t>
  </si>
  <si>
    <t xml:space="preserve">   ADG-160</t>
  </si>
  <si>
    <t xml:space="preserve">   ADG-135</t>
  </si>
  <si>
    <t xml:space="preserve">   ADG-155</t>
  </si>
  <si>
    <t>ESTADISTICA</t>
  </si>
  <si>
    <t>ADG-190</t>
  </si>
  <si>
    <t>ADG-180</t>
  </si>
  <si>
    <t>INGLES INTENSIVO IV (GRAMATICA )</t>
  </si>
  <si>
    <t xml:space="preserve">   ADG-100</t>
  </si>
  <si>
    <t>TECNICAS DE EXPRESION</t>
  </si>
  <si>
    <t>INLGES INTENSIVO V (GRAMATICA)</t>
  </si>
  <si>
    <t>ADG-235</t>
  </si>
  <si>
    <t>INGLES INTENSIVO VI (GRAMATICA)</t>
  </si>
  <si>
    <t>DISEÑO COMPUTARIZADO III</t>
  </si>
  <si>
    <t>ADG-260</t>
  </si>
  <si>
    <t>INGLES INTENSIVO VII (GRAMATICA )</t>
  </si>
  <si>
    <t>DISEÑO COMPUTARIZADO IV</t>
  </si>
  <si>
    <t>ADG-280</t>
  </si>
  <si>
    <t>INGLES INTENSIVO VIII (GRAMATICA )</t>
  </si>
  <si>
    <t>TEORIA DEL COLOR</t>
  </si>
  <si>
    <t>TECNICAS DE APLICACIÓN DE COLOR</t>
  </si>
  <si>
    <t>ADG-315</t>
  </si>
  <si>
    <t>INGLES INTENSIVO IX (GRAMATICA )</t>
  </si>
  <si>
    <t>ADG-330</t>
  </si>
  <si>
    <t xml:space="preserve">FOTOGRAFIA BASICA </t>
  </si>
  <si>
    <t>INGLES AVANZADO INTENSIVO I (REDACCION)</t>
  </si>
  <si>
    <t>ADG-325</t>
  </si>
  <si>
    <t>ADG-355</t>
  </si>
  <si>
    <t>INGLES AVANZADO INTENSIVO (REDACCION)</t>
  </si>
  <si>
    <t>MARCAS Y PATENTES (ASPECTO LEGAL)</t>
  </si>
  <si>
    <t>INGLES AVANZADO INTENSIVO III (REDACCION)</t>
  </si>
  <si>
    <t>SEMIOTICA DEL OBJETO Y DEL ESPACIO</t>
  </si>
  <si>
    <t>ADG-390</t>
  </si>
  <si>
    <t>LABORATORIO CREATIVO APLICADO</t>
  </si>
  <si>
    <t>ADG-405</t>
  </si>
  <si>
    <t>INGLES AVANZADO INTENSIVO IV (REDACCION)</t>
  </si>
  <si>
    <t>PSICOLOGIA DEL CONSUMIDOR NICARAGUENSE</t>
  </si>
  <si>
    <t>ADMISION</t>
  </si>
  <si>
    <t>ARTE DIGITAL I</t>
  </si>
  <si>
    <t>ADG-430</t>
  </si>
  <si>
    <t>INGLES CONVENCIAL I</t>
  </si>
  <si>
    <t>ADG-450</t>
  </si>
  <si>
    <t>INGLES CONVENCIONAL I</t>
  </si>
  <si>
    <t>ADG-470</t>
  </si>
  <si>
    <t>ADG-490</t>
  </si>
  <si>
    <t xml:space="preserve">INGLES CONVENCIONAL II </t>
  </si>
  <si>
    <t>ADG-255</t>
  </si>
  <si>
    <t>Horas pendientes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</si>
</sst>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7"/>
      <color theme="1"/>
      <name val="Times New Roman"/>
      <family val="1"/>
    </font>
    <font>
      <sz val="14"/>
      <color theme="1"/>
      <name val="Consolas"/>
      <family val="3"/>
    </font>
    <font>
      <sz val="9"/>
      <color theme="1"/>
      <name val="Consolas"/>
      <family val="3"/>
    </font>
    <font>
      <sz val="10"/>
      <color rgb="FF3B3838"/>
      <name val="Consolas"/>
      <family val="3"/>
    </font>
    <font>
      <b/>
      <sz val="10"/>
      <color theme="1"/>
      <name val="Consolas"/>
      <family val="3"/>
    </font>
    <font>
      <b/>
      <sz val="10"/>
      <color rgb="FF3B3838"/>
      <name val="Consolas"/>
      <family val="3"/>
    </font>
    <font>
      <b/>
      <sz val="9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AEAA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3" xfId="0" applyBorder="1"/>
    <xf numFmtId="0" fontId="2" fillId="2" borderId="6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2" fillId="0" borderId="11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0" fillId="4" borderId="3" xfId="0" applyFill="1" applyBorder="1"/>
    <xf numFmtId="0" fontId="7" fillId="4" borderId="3" xfId="0" applyFont="1" applyFill="1" applyBorder="1" applyAlignment="1">
      <alignment horizontal="center"/>
    </xf>
    <xf numFmtId="0" fontId="0" fillId="0" borderId="2" xfId="0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0" fillId="3" borderId="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0" borderId="6" xfId="0" applyFont="1" applyBorder="1" applyAlignment="1">
      <alignment horizontal="center" vertical="center" wrapText="1"/>
    </xf>
    <xf numFmtId="0" fontId="0" fillId="3" borderId="11" xfId="0" applyFill="1" applyBorder="1"/>
    <xf numFmtId="0" fontId="0" fillId="3" borderId="18" xfId="0" applyFill="1" applyBorder="1" applyAlignment="1">
      <alignment horizontal="center"/>
    </xf>
    <xf numFmtId="0" fontId="2" fillId="3" borderId="11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239972</xdr:colOff>
      <xdr:row>0</xdr:row>
      <xdr:rowOff>0</xdr:rowOff>
    </xdr:from>
    <xdr:to>
      <xdr:col>6</xdr:col>
      <xdr:colOff>57150</xdr:colOff>
      <xdr:row>4</xdr:row>
      <xdr:rowOff>142720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789262-8F9C-48A5-A1F1-C1DA00C01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972" y="0"/>
          <a:ext cx="4132003" cy="904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8"/>
  <sheetViews>
    <sheetView tabSelected="1" topLeftCell="A5" workbookViewId="0">
      <selection activeCell="I17" sqref="I17"/>
    </sheetView>
  </sheetViews>
  <sheetFormatPr baseColWidth="10" defaultRowHeight="15" x14ac:dyDescent="0.25"/>
  <cols>
    <col min="3" max="3" width="19" customWidth="1"/>
  </cols>
  <sheetData>
    <row r="2" spans="1:7" x14ac:dyDescent="0.25">
      <c r="A2" s="81"/>
      <c r="B2" s="81"/>
      <c r="C2" s="81"/>
      <c r="D2" s="81"/>
      <c r="E2" s="81"/>
      <c r="F2" s="81"/>
      <c r="G2" s="81"/>
    </row>
    <row r="3" spans="1:7" x14ac:dyDescent="0.25">
      <c r="A3" s="5"/>
      <c r="B3" s="5"/>
      <c r="C3" s="5"/>
      <c r="D3" s="5"/>
      <c r="E3" s="5"/>
      <c r="F3" s="5"/>
      <c r="G3" s="5"/>
    </row>
    <row r="5" spans="1:7" x14ac:dyDescent="0.25">
      <c r="A5" s="81" t="s">
        <v>0</v>
      </c>
      <c r="B5" s="81"/>
      <c r="C5" s="81"/>
      <c r="D5" s="81"/>
      <c r="E5" s="81"/>
      <c r="F5" s="81"/>
      <c r="G5" s="81"/>
    </row>
    <row r="6" spans="1:7" x14ac:dyDescent="0.25">
      <c r="A6" s="81" t="s">
        <v>102</v>
      </c>
      <c r="B6" s="81"/>
      <c r="C6" s="81"/>
      <c r="D6" s="81"/>
      <c r="E6" s="81"/>
      <c r="F6" s="81"/>
      <c r="G6" s="81"/>
    </row>
    <row r="8" spans="1:7" x14ac:dyDescent="0.25">
      <c r="A8" s="74" t="s">
        <v>121</v>
      </c>
      <c r="B8" s="74"/>
      <c r="C8" s="74"/>
      <c r="D8" s="74"/>
      <c r="E8" s="73" t="s">
        <v>130</v>
      </c>
      <c r="F8" s="74"/>
      <c r="G8" s="74"/>
    </row>
    <row r="9" spans="1:7" x14ac:dyDescent="0.25">
      <c r="A9" t="s">
        <v>125</v>
      </c>
      <c r="E9" s="75" t="s">
        <v>123</v>
      </c>
    </row>
    <row r="10" spans="1:7" x14ac:dyDescent="0.25">
      <c r="A10" t="s">
        <v>124</v>
      </c>
      <c r="D10" s="6"/>
      <c r="E10" s="75" t="s">
        <v>122</v>
      </c>
    </row>
    <row r="11" spans="1:7" x14ac:dyDescent="0.25">
      <c r="A11" s="6" t="s">
        <v>126</v>
      </c>
      <c r="D11" s="6"/>
      <c r="E11" s="6" t="s">
        <v>129</v>
      </c>
    </row>
    <row r="12" spans="1:7" x14ac:dyDescent="0.25">
      <c r="A12" s="6" t="s">
        <v>127</v>
      </c>
    </row>
    <row r="13" spans="1:7" ht="15.75" thickBot="1" x14ac:dyDescent="0.3">
      <c r="A13" s="6" t="s">
        <v>128</v>
      </c>
    </row>
    <row r="14" spans="1:7" ht="26.25" thickBot="1" x14ac:dyDescent="0.3">
      <c r="A14" s="3" t="s">
        <v>96</v>
      </c>
      <c r="B14" s="4" t="s">
        <v>97</v>
      </c>
      <c r="C14" s="4" t="s">
        <v>98</v>
      </c>
      <c r="D14" s="4" t="s">
        <v>99</v>
      </c>
      <c r="E14" s="4" t="s">
        <v>131</v>
      </c>
      <c r="F14" s="4" t="s">
        <v>100</v>
      </c>
      <c r="G14" s="4" t="s">
        <v>101</v>
      </c>
    </row>
    <row r="15" spans="1:7" ht="18.75" customHeight="1" thickBot="1" x14ac:dyDescent="0.3">
      <c r="A15" s="82" t="s">
        <v>1</v>
      </c>
      <c r="B15" s="83"/>
      <c r="C15" s="83"/>
      <c r="D15" s="83"/>
      <c r="E15" s="83"/>
      <c r="F15" s="83"/>
      <c r="G15" s="84"/>
    </row>
    <row r="16" spans="1:7" x14ac:dyDescent="0.25">
      <c r="A16" s="16" t="s">
        <v>2</v>
      </c>
      <c r="B16" s="35" t="s">
        <v>4</v>
      </c>
      <c r="C16" s="35" t="s">
        <v>5</v>
      </c>
      <c r="D16" s="37" t="s">
        <v>109</v>
      </c>
      <c r="E16" s="35">
        <v>36</v>
      </c>
      <c r="F16" s="35">
        <v>3</v>
      </c>
      <c r="G16" s="77" t="s">
        <v>179</v>
      </c>
    </row>
    <row r="17" spans="1:7" ht="25.5" x14ac:dyDescent="0.25">
      <c r="A17" s="16" t="s">
        <v>3</v>
      </c>
      <c r="B17" s="62" t="s">
        <v>132</v>
      </c>
      <c r="C17" s="18" t="s">
        <v>133</v>
      </c>
      <c r="D17" s="19" t="s">
        <v>113</v>
      </c>
      <c r="E17" s="35">
        <v>36</v>
      </c>
      <c r="F17" s="18">
        <v>3</v>
      </c>
      <c r="G17" s="77" t="s">
        <v>179</v>
      </c>
    </row>
    <row r="18" spans="1:7" ht="38.25" x14ac:dyDescent="0.25">
      <c r="A18" s="76"/>
      <c r="B18" s="70" t="s">
        <v>134</v>
      </c>
      <c r="C18" s="22" t="s">
        <v>135</v>
      </c>
      <c r="D18" s="24" t="s">
        <v>113</v>
      </c>
      <c r="E18" s="79" t="s">
        <v>189</v>
      </c>
      <c r="F18" s="22">
        <v>2</v>
      </c>
      <c r="G18" s="77" t="s">
        <v>179</v>
      </c>
    </row>
    <row r="19" spans="1:7" ht="15.75" thickBot="1" x14ac:dyDescent="0.3">
      <c r="A19" s="21"/>
      <c r="B19" s="22" t="s">
        <v>138</v>
      </c>
      <c r="C19" s="23" t="s">
        <v>8</v>
      </c>
      <c r="D19" s="24" t="s">
        <v>109</v>
      </c>
      <c r="E19" s="35">
        <v>36</v>
      </c>
      <c r="F19" s="22">
        <v>2</v>
      </c>
      <c r="G19" s="77" t="s">
        <v>179</v>
      </c>
    </row>
    <row r="20" spans="1:7" ht="15.75" thickBot="1" x14ac:dyDescent="0.3">
      <c r="A20" s="9"/>
      <c r="B20" s="25"/>
      <c r="C20" s="26" t="s">
        <v>103</v>
      </c>
      <c r="D20" s="53"/>
      <c r="E20" s="54">
        <f>SUM(E16:E19)</f>
        <v>108</v>
      </c>
      <c r="F20" s="54">
        <f>SUM(F16:F19)</f>
        <v>10</v>
      </c>
      <c r="G20" s="77" t="s">
        <v>179</v>
      </c>
    </row>
    <row r="21" spans="1:7" ht="24" x14ac:dyDescent="0.25">
      <c r="A21" s="16" t="s">
        <v>9</v>
      </c>
      <c r="B21" s="62" t="s">
        <v>7</v>
      </c>
      <c r="C21" s="20" t="s">
        <v>137</v>
      </c>
      <c r="D21" s="37" t="s">
        <v>110</v>
      </c>
      <c r="E21" s="35">
        <v>24</v>
      </c>
      <c r="F21" s="35">
        <v>2</v>
      </c>
      <c r="G21" s="77" t="s">
        <v>179</v>
      </c>
    </row>
    <row r="22" spans="1:7" x14ac:dyDescent="0.25">
      <c r="A22" s="16" t="s">
        <v>3</v>
      </c>
      <c r="B22" s="18" t="s">
        <v>19</v>
      </c>
      <c r="C22" s="18" t="s">
        <v>136</v>
      </c>
      <c r="D22" s="19" t="s">
        <v>109</v>
      </c>
      <c r="E22" s="18">
        <v>24</v>
      </c>
      <c r="F22" s="18">
        <v>2</v>
      </c>
      <c r="G22" s="77" t="s">
        <v>179</v>
      </c>
    </row>
    <row r="23" spans="1:7" ht="25.5" x14ac:dyDescent="0.25">
      <c r="A23" s="76"/>
      <c r="B23" s="22" t="s">
        <v>140</v>
      </c>
      <c r="C23" s="22" t="s">
        <v>139</v>
      </c>
      <c r="D23" s="24" t="s">
        <v>110</v>
      </c>
      <c r="E23" s="22">
        <v>36</v>
      </c>
      <c r="F23" s="22">
        <v>3</v>
      </c>
      <c r="G23" s="77" t="s">
        <v>179</v>
      </c>
    </row>
    <row r="24" spans="1:7" ht="39" thickBot="1" x14ac:dyDescent="0.3">
      <c r="A24" s="21"/>
      <c r="B24" s="22" t="s">
        <v>12</v>
      </c>
      <c r="C24" s="22" t="s">
        <v>13</v>
      </c>
      <c r="D24" s="24" t="s">
        <v>113</v>
      </c>
      <c r="E24" s="22">
        <v>36</v>
      </c>
      <c r="F24" s="22">
        <v>3</v>
      </c>
      <c r="G24" s="66" t="s">
        <v>132</v>
      </c>
    </row>
    <row r="25" spans="1:7" ht="15.75" thickBot="1" x14ac:dyDescent="0.3">
      <c r="A25" s="11"/>
      <c r="B25" s="15"/>
      <c r="C25" s="26" t="s">
        <v>103</v>
      </c>
      <c r="D25" s="51"/>
      <c r="E25" s="52">
        <f>SUM(E21:E24)</f>
        <v>120</v>
      </c>
      <c r="F25" s="52">
        <f>SUM(F21:F24)</f>
        <v>10</v>
      </c>
      <c r="G25" s="61"/>
    </row>
    <row r="26" spans="1:7" ht="38.25" x14ac:dyDescent="0.25">
      <c r="A26" s="16" t="s">
        <v>14</v>
      </c>
      <c r="B26" s="18" t="s">
        <v>111</v>
      </c>
      <c r="C26" s="18" t="s">
        <v>16</v>
      </c>
      <c r="D26" s="37" t="s">
        <v>110</v>
      </c>
      <c r="E26" s="35">
        <v>36</v>
      </c>
      <c r="F26" s="35">
        <v>3</v>
      </c>
      <c r="G26" s="66" t="s">
        <v>6</v>
      </c>
    </row>
    <row r="27" spans="1:7" x14ac:dyDescent="0.25">
      <c r="A27" s="76"/>
      <c r="B27" s="18" t="s">
        <v>15</v>
      </c>
      <c r="C27" s="18" t="s">
        <v>11</v>
      </c>
      <c r="D27" s="37" t="s">
        <v>110</v>
      </c>
      <c r="E27" s="35">
        <v>24</v>
      </c>
      <c r="F27" s="35">
        <v>2</v>
      </c>
      <c r="G27" s="66" t="s">
        <v>179</v>
      </c>
    </row>
    <row r="28" spans="1:7" ht="24" x14ac:dyDescent="0.25">
      <c r="A28" s="16" t="s">
        <v>3</v>
      </c>
      <c r="B28" s="62" t="s">
        <v>10</v>
      </c>
      <c r="C28" s="20" t="s">
        <v>141</v>
      </c>
      <c r="D28" s="33" t="s">
        <v>113</v>
      </c>
      <c r="E28" s="18">
        <v>36</v>
      </c>
      <c r="F28" s="20">
        <v>3</v>
      </c>
      <c r="G28" s="66" t="s">
        <v>111</v>
      </c>
    </row>
    <row r="29" spans="1:7" ht="15.75" thickBot="1" x14ac:dyDescent="0.3">
      <c r="A29" s="17"/>
      <c r="B29" s="18" t="s">
        <v>112</v>
      </c>
      <c r="C29" s="18" t="s">
        <v>17</v>
      </c>
      <c r="D29" s="24" t="s">
        <v>110</v>
      </c>
      <c r="E29" s="22">
        <v>24</v>
      </c>
      <c r="F29" s="22">
        <v>3</v>
      </c>
      <c r="G29" s="66" t="s">
        <v>7</v>
      </c>
    </row>
    <row r="30" spans="1:7" ht="15.75" thickBot="1" x14ac:dyDescent="0.3">
      <c r="A30" s="2"/>
      <c r="B30" s="14"/>
      <c r="C30" s="13" t="s">
        <v>103</v>
      </c>
      <c r="D30" s="51"/>
      <c r="E30" s="52">
        <f>SUM(E26:E29)</f>
        <v>120</v>
      </c>
      <c r="F30" s="52">
        <f>SUM(F26:F29)</f>
        <v>11</v>
      </c>
      <c r="G30" s="61"/>
    </row>
    <row r="31" spans="1:7" ht="25.5" x14ac:dyDescent="0.25">
      <c r="A31" s="16" t="s">
        <v>18</v>
      </c>
      <c r="B31" s="18" t="s">
        <v>25</v>
      </c>
      <c r="C31" s="18" t="s">
        <v>142</v>
      </c>
      <c r="D31" s="37" t="s">
        <v>113</v>
      </c>
      <c r="E31" s="35">
        <v>36</v>
      </c>
      <c r="F31" s="35">
        <v>3</v>
      </c>
      <c r="G31" s="77" t="s">
        <v>143</v>
      </c>
    </row>
    <row r="32" spans="1:7" ht="36" x14ac:dyDescent="0.25">
      <c r="A32" s="16" t="s">
        <v>3</v>
      </c>
      <c r="B32" s="18" t="s">
        <v>20</v>
      </c>
      <c r="C32" s="20" t="s">
        <v>21</v>
      </c>
      <c r="D32" s="19" t="s">
        <v>110</v>
      </c>
      <c r="E32" s="18">
        <v>24</v>
      </c>
      <c r="F32" s="18">
        <v>2</v>
      </c>
      <c r="G32" s="77" t="s">
        <v>144</v>
      </c>
    </row>
    <row r="33" spans="1:7" ht="24" x14ac:dyDescent="0.25">
      <c r="A33" s="76"/>
      <c r="B33" s="18" t="s">
        <v>148</v>
      </c>
      <c r="C33" s="20" t="s">
        <v>149</v>
      </c>
      <c r="D33" s="24" t="s">
        <v>113</v>
      </c>
      <c r="E33" s="22">
        <v>36</v>
      </c>
      <c r="F33" s="22">
        <v>3</v>
      </c>
      <c r="G33" s="77" t="s">
        <v>145</v>
      </c>
    </row>
    <row r="34" spans="1:7" ht="15.75" thickBot="1" x14ac:dyDescent="0.3">
      <c r="A34" s="21"/>
      <c r="B34" s="18" t="s">
        <v>147</v>
      </c>
      <c r="C34" s="18" t="s">
        <v>146</v>
      </c>
      <c r="D34" s="24" t="s">
        <v>109</v>
      </c>
      <c r="E34" s="22">
        <v>24</v>
      </c>
      <c r="F34" s="22">
        <v>2</v>
      </c>
      <c r="G34" s="77" t="s">
        <v>150</v>
      </c>
    </row>
    <row r="35" spans="1:7" ht="15.75" thickBot="1" x14ac:dyDescent="0.3">
      <c r="A35" s="31"/>
      <c r="B35" s="29"/>
      <c r="C35" s="30" t="s">
        <v>103</v>
      </c>
      <c r="D35" s="57"/>
      <c r="E35" s="58">
        <f>SUM(E31:E34)</f>
        <v>120</v>
      </c>
      <c r="F35" s="58">
        <f>SUM(F31:F34)</f>
        <v>10</v>
      </c>
      <c r="G35" s="47"/>
    </row>
    <row r="36" spans="1:7" ht="15.75" thickBot="1" x14ac:dyDescent="0.3">
      <c r="A36" s="27"/>
      <c r="B36" s="28"/>
      <c r="C36" s="32" t="s">
        <v>104</v>
      </c>
      <c r="D36" s="55"/>
      <c r="E36" s="56">
        <f>+E35+E30+E20</f>
        <v>348</v>
      </c>
      <c r="F36" s="56">
        <f>+F35+F30+F20</f>
        <v>31</v>
      </c>
      <c r="G36" s="44"/>
    </row>
    <row r="37" spans="1:7" ht="18.75" customHeight="1" x14ac:dyDescent="0.25">
      <c r="A37" s="85" t="s">
        <v>23</v>
      </c>
      <c r="B37" s="86"/>
      <c r="C37" s="86"/>
      <c r="D37" s="86"/>
      <c r="E37" s="86"/>
      <c r="F37" s="86"/>
      <c r="G37" s="86"/>
    </row>
    <row r="38" spans="1:7" ht="25.5" x14ac:dyDescent="0.25">
      <c r="A38" s="16" t="s">
        <v>24</v>
      </c>
      <c r="B38" s="62" t="s">
        <v>22</v>
      </c>
      <c r="C38" s="62" t="s">
        <v>151</v>
      </c>
      <c r="D38" s="67" t="s">
        <v>110</v>
      </c>
      <c r="E38" s="62">
        <v>24</v>
      </c>
      <c r="F38" s="62">
        <v>2</v>
      </c>
      <c r="G38" s="63" t="s">
        <v>10</v>
      </c>
    </row>
    <row r="39" spans="1:7" ht="24" x14ac:dyDescent="0.25">
      <c r="A39" s="16" t="s">
        <v>3</v>
      </c>
      <c r="B39" s="62" t="s">
        <v>32</v>
      </c>
      <c r="C39" s="68" t="s">
        <v>33</v>
      </c>
      <c r="D39" s="69" t="s">
        <v>109</v>
      </c>
      <c r="E39" s="62">
        <v>24</v>
      </c>
      <c r="F39" s="68">
        <v>2</v>
      </c>
      <c r="G39" s="63" t="s">
        <v>147</v>
      </c>
    </row>
    <row r="40" spans="1:7" ht="25.5" x14ac:dyDescent="0.25">
      <c r="A40" s="21"/>
      <c r="B40" s="62" t="s">
        <v>114</v>
      </c>
      <c r="C40" s="62" t="s">
        <v>152</v>
      </c>
      <c r="D40" s="67" t="s">
        <v>113</v>
      </c>
      <c r="E40" s="62">
        <v>36</v>
      </c>
      <c r="F40" s="62">
        <v>3</v>
      </c>
      <c r="G40" s="63" t="s">
        <v>148</v>
      </c>
    </row>
    <row r="41" spans="1:7" ht="15.75" thickBot="1" x14ac:dyDescent="0.3">
      <c r="A41" s="21"/>
      <c r="B41" s="70" t="s">
        <v>30</v>
      </c>
      <c r="C41" s="71" t="s">
        <v>31</v>
      </c>
      <c r="D41" s="72" t="s">
        <v>113</v>
      </c>
      <c r="E41" s="70">
        <v>36</v>
      </c>
      <c r="F41" s="70">
        <v>3</v>
      </c>
      <c r="G41" s="63" t="s">
        <v>25</v>
      </c>
    </row>
    <row r="42" spans="1:7" ht="15.75" thickBot="1" x14ac:dyDescent="0.3">
      <c r="A42" s="11"/>
      <c r="B42" s="12"/>
      <c r="C42" s="38" t="s">
        <v>103</v>
      </c>
      <c r="D42" s="51"/>
      <c r="E42" s="52">
        <f>SUM(E38:E41)</f>
        <v>120</v>
      </c>
      <c r="F42" s="52">
        <f t="shared" ref="F42" si="0">SUM(F38:F41)</f>
        <v>10</v>
      </c>
      <c r="G42" s="44"/>
    </row>
    <row r="43" spans="1:7" ht="38.25" x14ac:dyDescent="0.25">
      <c r="A43" s="16" t="s">
        <v>27</v>
      </c>
      <c r="B43" s="35" t="s">
        <v>28</v>
      </c>
      <c r="C43" s="35" t="s">
        <v>29</v>
      </c>
      <c r="D43" s="37" t="s">
        <v>113</v>
      </c>
      <c r="E43" s="35">
        <v>24</v>
      </c>
      <c r="F43" s="35">
        <v>2</v>
      </c>
      <c r="G43" s="63" t="s">
        <v>114</v>
      </c>
    </row>
    <row r="44" spans="1:7" x14ac:dyDescent="0.25">
      <c r="A44" s="16" t="s">
        <v>3</v>
      </c>
      <c r="B44" s="18" t="s">
        <v>38</v>
      </c>
      <c r="C44" s="18" t="s">
        <v>39</v>
      </c>
      <c r="D44" s="19" t="s">
        <v>113</v>
      </c>
      <c r="E44" s="18">
        <v>24</v>
      </c>
      <c r="F44" s="18">
        <v>2</v>
      </c>
      <c r="G44" s="63" t="s">
        <v>10</v>
      </c>
    </row>
    <row r="45" spans="1:7" ht="24" x14ac:dyDescent="0.25">
      <c r="A45" s="21"/>
      <c r="B45" s="18" t="s">
        <v>153</v>
      </c>
      <c r="C45" s="20" t="s">
        <v>154</v>
      </c>
      <c r="D45" s="19" t="s">
        <v>113</v>
      </c>
      <c r="E45" s="18">
        <v>36</v>
      </c>
      <c r="F45" s="18">
        <v>3</v>
      </c>
      <c r="G45" s="63" t="s">
        <v>32</v>
      </c>
    </row>
    <row r="46" spans="1:7" ht="24.75" thickBot="1" x14ac:dyDescent="0.3">
      <c r="A46" s="21"/>
      <c r="B46" s="22" t="s">
        <v>40</v>
      </c>
      <c r="C46" s="23" t="s">
        <v>155</v>
      </c>
      <c r="D46" s="24" t="s">
        <v>113</v>
      </c>
      <c r="E46" s="22">
        <v>36</v>
      </c>
      <c r="F46" s="22">
        <v>3</v>
      </c>
      <c r="G46" s="63" t="s">
        <v>114</v>
      </c>
    </row>
    <row r="47" spans="1:7" ht="15.75" thickBot="1" x14ac:dyDescent="0.3">
      <c r="A47" s="11"/>
      <c r="B47" s="12"/>
      <c r="C47" s="38" t="s">
        <v>103</v>
      </c>
      <c r="D47" s="51"/>
      <c r="E47" s="52">
        <f>SUM(E43:E46)</f>
        <v>120</v>
      </c>
      <c r="F47" s="52">
        <f>SUM(F43:F46)</f>
        <v>10</v>
      </c>
      <c r="G47" s="44"/>
    </row>
    <row r="48" spans="1:7" ht="36" x14ac:dyDescent="0.25">
      <c r="A48" s="16" t="s">
        <v>35</v>
      </c>
      <c r="B48" s="35" t="s">
        <v>36</v>
      </c>
      <c r="C48" s="36" t="s">
        <v>37</v>
      </c>
      <c r="D48" s="37" t="s">
        <v>113</v>
      </c>
      <c r="E48" s="35">
        <v>24</v>
      </c>
      <c r="F48" s="35">
        <v>2</v>
      </c>
      <c r="G48" s="64" t="s">
        <v>30</v>
      </c>
    </row>
    <row r="49" spans="1:7" ht="24" x14ac:dyDescent="0.25">
      <c r="A49" s="16" t="s">
        <v>3</v>
      </c>
      <c r="B49" s="18" t="s">
        <v>115</v>
      </c>
      <c r="C49" s="20" t="s">
        <v>26</v>
      </c>
      <c r="D49" s="19" t="s">
        <v>113</v>
      </c>
      <c r="E49" s="18">
        <v>24</v>
      </c>
      <c r="F49" s="18">
        <v>2</v>
      </c>
      <c r="G49" s="63" t="s">
        <v>40</v>
      </c>
    </row>
    <row r="50" spans="1:7" ht="24" x14ac:dyDescent="0.25">
      <c r="A50" s="34"/>
      <c r="B50" s="18" t="s">
        <v>156</v>
      </c>
      <c r="C50" s="20" t="s">
        <v>157</v>
      </c>
      <c r="D50" s="19" t="s">
        <v>113</v>
      </c>
      <c r="E50" s="18">
        <v>36</v>
      </c>
      <c r="F50" s="18">
        <v>3</v>
      </c>
      <c r="G50" s="63" t="s">
        <v>153</v>
      </c>
    </row>
    <row r="51" spans="1:7" ht="26.25" thickBot="1" x14ac:dyDescent="0.3">
      <c r="A51" s="34"/>
      <c r="B51" s="22" t="s">
        <v>46</v>
      </c>
      <c r="C51" s="22" t="s">
        <v>158</v>
      </c>
      <c r="D51" s="24" t="s">
        <v>113</v>
      </c>
      <c r="E51" s="22">
        <v>36</v>
      </c>
      <c r="F51" s="22">
        <v>3</v>
      </c>
      <c r="G51" s="63" t="s">
        <v>40</v>
      </c>
    </row>
    <row r="52" spans="1:7" ht="15.75" thickBot="1" x14ac:dyDescent="0.3">
      <c r="A52" s="11"/>
      <c r="B52" s="12"/>
      <c r="C52" s="38" t="s">
        <v>103</v>
      </c>
      <c r="D52" s="51"/>
      <c r="E52" s="52">
        <f>SUM(E48:E51)</f>
        <v>120</v>
      </c>
      <c r="F52" s="52">
        <f t="shared" ref="F52" si="1">SUM(F48:F51)</f>
        <v>10</v>
      </c>
      <c r="G52" s="44"/>
    </row>
    <row r="53" spans="1:7" ht="36" x14ac:dyDescent="0.25">
      <c r="A53" s="16" t="s">
        <v>43</v>
      </c>
      <c r="B53" s="35" t="s">
        <v>44</v>
      </c>
      <c r="C53" s="36" t="s">
        <v>45</v>
      </c>
      <c r="D53" s="37" t="s">
        <v>113</v>
      </c>
      <c r="E53" s="35">
        <v>24</v>
      </c>
      <c r="F53" s="35">
        <v>2</v>
      </c>
      <c r="G53" s="64" t="s">
        <v>115</v>
      </c>
    </row>
    <row r="54" spans="1:7" ht="24" x14ac:dyDescent="0.25">
      <c r="A54" s="16" t="s">
        <v>3</v>
      </c>
      <c r="B54" s="35" t="s">
        <v>41</v>
      </c>
      <c r="C54" s="36" t="s">
        <v>42</v>
      </c>
      <c r="D54" s="37" t="s">
        <v>113</v>
      </c>
      <c r="E54" s="35">
        <v>24</v>
      </c>
      <c r="F54" s="35">
        <v>3</v>
      </c>
      <c r="G54" s="64" t="s">
        <v>179</v>
      </c>
    </row>
    <row r="55" spans="1:7" ht="24" x14ac:dyDescent="0.25">
      <c r="B55" s="18" t="s">
        <v>159</v>
      </c>
      <c r="C55" s="20" t="s">
        <v>160</v>
      </c>
      <c r="D55" s="19" t="s">
        <v>113</v>
      </c>
      <c r="E55" s="18">
        <v>36</v>
      </c>
      <c r="F55" s="18">
        <v>3</v>
      </c>
      <c r="G55" s="63" t="s">
        <v>156</v>
      </c>
    </row>
    <row r="56" spans="1:7" ht="15.75" thickBot="1" x14ac:dyDescent="0.3">
      <c r="A56" s="21"/>
      <c r="B56" s="22" t="s">
        <v>34</v>
      </c>
      <c r="C56" s="23" t="s">
        <v>161</v>
      </c>
      <c r="D56" s="24" t="s">
        <v>113</v>
      </c>
      <c r="E56" s="22">
        <v>36</v>
      </c>
      <c r="F56" s="22">
        <v>2</v>
      </c>
      <c r="G56" s="65" t="s">
        <v>188</v>
      </c>
    </row>
    <row r="57" spans="1:7" ht="15.75" thickBot="1" x14ac:dyDescent="0.3">
      <c r="A57" s="27"/>
      <c r="B57" s="28"/>
      <c r="C57" s="38" t="s">
        <v>103</v>
      </c>
      <c r="D57" s="57"/>
      <c r="E57" s="58">
        <f>SUM(E53:E56)</f>
        <v>120</v>
      </c>
      <c r="F57" s="58">
        <f t="shared" ref="F57" si="2">SUM(F53:F56)</f>
        <v>10</v>
      </c>
      <c r="G57" s="47"/>
    </row>
    <row r="58" spans="1:7" ht="15.75" thickBot="1" x14ac:dyDescent="0.3">
      <c r="A58" s="27"/>
      <c r="B58" s="28"/>
      <c r="C58" s="39" t="s">
        <v>105</v>
      </c>
      <c r="D58" s="55"/>
      <c r="E58" s="56">
        <f>+E57+E52+E47+E42</f>
        <v>480</v>
      </c>
      <c r="F58" s="56">
        <f t="shared" ref="F58" si="3">+F57+F52+F47+F42</f>
        <v>40</v>
      </c>
      <c r="G58" s="44"/>
    </row>
    <row r="59" spans="1:7" ht="18.75" customHeight="1" thickBot="1" x14ac:dyDescent="0.3">
      <c r="A59" s="82" t="s">
        <v>48</v>
      </c>
      <c r="B59" s="83"/>
      <c r="C59" s="83"/>
      <c r="D59" s="83"/>
      <c r="E59" s="83"/>
      <c r="F59" s="83"/>
      <c r="G59" s="84"/>
    </row>
    <row r="60" spans="1:7" ht="36" x14ac:dyDescent="0.25">
      <c r="A60" s="16" t="s">
        <v>49</v>
      </c>
      <c r="B60" s="36" t="s">
        <v>50</v>
      </c>
      <c r="C60" s="36" t="s">
        <v>51</v>
      </c>
      <c r="D60" s="37" t="s">
        <v>113</v>
      </c>
      <c r="E60" s="35">
        <v>36</v>
      </c>
      <c r="F60" s="35">
        <v>3</v>
      </c>
      <c r="G60" s="64" t="s">
        <v>44</v>
      </c>
    </row>
    <row r="61" spans="1:7" ht="38.25" x14ac:dyDescent="0.25">
      <c r="A61" s="16" t="s">
        <v>3</v>
      </c>
      <c r="B61" s="18" t="s">
        <v>47</v>
      </c>
      <c r="C61" s="18" t="s">
        <v>162</v>
      </c>
      <c r="D61" s="19" t="s">
        <v>113</v>
      </c>
      <c r="E61" s="18">
        <v>36</v>
      </c>
      <c r="F61" s="18">
        <v>3</v>
      </c>
      <c r="G61" s="64" t="s">
        <v>41</v>
      </c>
    </row>
    <row r="62" spans="1:7" ht="25.5" x14ac:dyDescent="0.25">
      <c r="A62" s="76"/>
      <c r="B62" s="22" t="s">
        <v>53</v>
      </c>
      <c r="C62" s="22" t="s">
        <v>54</v>
      </c>
      <c r="D62" s="24" t="s">
        <v>113</v>
      </c>
      <c r="E62" s="22">
        <v>24</v>
      </c>
      <c r="F62" s="22">
        <v>2</v>
      </c>
      <c r="G62" s="78" t="s">
        <v>38</v>
      </c>
    </row>
    <row r="63" spans="1:7" ht="24.75" thickBot="1" x14ac:dyDescent="0.3">
      <c r="A63" s="21"/>
      <c r="B63" s="22" t="s">
        <v>163</v>
      </c>
      <c r="C63" s="23" t="s">
        <v>164</v>
      </c>
      <c r="D63" s="24" t="s">
        <v>113</v>
      </c>
      <c r="E63" s="22">
        <v>24</v>
      </c>
      <c r="F63" s="22">
        <v>2</v>
      </c>
      <c r="G63" s="65" t="s">
        <v>159</v>
      </c>
    </row>
    <row r="64" spans="1:7" ht="15.75" thickBot="1" x14ac:dyDescent="0.3">
      <c r="A64" s="11"/>
      <c r="B64" s="12"/>
      <c r="C64" s="38" t="s">
        <v>103</v>
      </c>
      <c r="D64" s="51"/>
      <c r="E64" s="52">
        <f>SUM(E60:E63)</f>
        <v>120</v>
      </c>
      <c r="F64" s="52">
        <f>SUM(F60:F63)</f>
        <v>10</v>
      </c>
      <c r="G64" s="44"/>
    </row>
    <row r="65" spans="1:7" x14ac:dyDescent="0.25">
      <c r="A65" s="16" t="s">
        <v>55</v>
      </c>
      <c r="B65" s="35" t="s">
        <v>52</v>
      </c>
      <c r="C65" s="36" t="s">
        <v>166</v>
      </c>
      <c r="D65" s="37" t="s">
        <v>113</v>
      </c>
      <c r="E65" s="35">
        <v>24</v>
      </c>
      <c r="F65" s="35">
        <v>2</v>
      </c>
      <c r="G65" s="64" t="s">
        <v>179</v>
      </c>
    </row>
    <row r="66" spans="1:7" ht="38.25" x14ac:dyDescent="0.25">
      <c r="A66" s="16" t="s">
        <v>3</v>
      </c>
      <c r="B66" s="18" t="s">
        <v>165</v>
      </c>
      <c r="C66" s="18" t="s">
        <v>167</v>
      </c>
      <c r="D66" s="19" t="s">
        <v>113</v>
      </c>
      <c r="E66" s="18">
        <v>36</v>
      </c>
      <c r="F66" s="18">
        <v>3</v>
      </c>
      <c r="G66" s="63" t="s">
        <v>34</v>
      </c>
    </row>
    <row r="67" spans="1:7" ht="25.5" x14ac:dyDescent="0.25">
      <c r="A67" s="76"/>
      <c r="B67" s="22" t="s">
        <v>58</v>
      </c>
      <c r="C67" s="22" t="s">
        <v>59</v>
      </c>
      <c r="D67" s="24" t="s">
        <v>113</v>
      </c>
      <c r="E67" s="22">
        <v>24</v>
      </c>
      <c r="F67" s="22">
        <v>2</v>
      </c>
      <c r="G67" s="65" t="s">
        <v>52</v>
      </c>
    </row>
    <row r="68" spans="1:7" ht="24.75" thickBot="1" x14ac:dyDescent="0.3">
      <c r="A68" s="21"/>
      <c r="B68" s="22" t="s">
        <v>76</v>
      </c>
      <c r="C68" s="23" t="s">
        <v>77</v>
      </c>
      <c r="D68" s="24" t="s">
        <v>113</v>
      </c>
      <c r="E68" s="22">
        <v>36</v>
      </c>
      <c r="F68" s="22">
        <v>3</v>
      </c>
      <c r="G68" s="65" t="s">
        <v>34</v>
      </c>
    </row>
    <row r="69" spans="1:7" ht="15.75" thickBot="1" x14ac:dyDescent="0.3">
      <c r="A69" s="11"/>
      <c r="B69" s="12"/>
      <c r="C69" s="38" t="s">
        <v>103</v>
      </c>
      <c r="D69" s="51"/>
      <c r="E69" s="52">
        <f>SUM(E65:E68)</f>
        <v>120</v>
      </c>
      <c r="F69" s="52">
        <f>SUM(F65:F68)</f>
        <v>10</v>
      </c>
      <c r="G69" s="44"/>
    </row>
    <row r="70" spans="1:7" ht="36" x14ac:dyDescent="0.25">
      <c r="A70" s="16" t="s">
        <v>62</v>
      </c>
      <c r="B70" s="35" t="s">
        <v>56</v>
      </c>
      <c r="C70" s="36" t="s">
        <v>57</v>
      </c>
      <c r="D70" s="37" t="s">
        <v>113</v>
      </c>
      <c r="E70" s="35">
        <v>36</v>
      </c>
      <c r="F70" s="35">
        <v>3</v>
      </c>
      <c r="G70" s="64" t="s">
        <v>168</v>
      </c>
    </row>
    <row r="71" spans="1:7" x14ac:dyDescent="0.25">
      <c r="A71" s="16" t="s">
        <v>3</v>
      </c>
      <c r="B71" s="18" t="s">
        <v>60</v>
      </c>
      <c r="C71" s="18" t="s">
        <v>61</v>
      </c>
      <c r="D71" s="19" t="s">
        <v>113</v>
      </c>
      <c r="E71" s="18">
        <v>24</v>
      </c>
      <c r="F71" s="18">
        <v>2</v>
      </c>
      <c r="G71" s="64" t="s">
        <v>165</v>
      </c>
    </row>
    <row r="72" spans="1:7" ht="38.25" x14ac:dyDescent="0.25">
      <c r="A72" s="76"/>
      <c r="B72" s="22" t="s">
        <v>169</v>
      </c>
      <c r="C72" s="22" t="s">
        <v>170</v>
      </c>
      <c r="D72" s="24" t="s">
        <v>113</v>
      </c>
      <c r="E72" s="22">
        <v>36</v>
      </c>
      <c r="F72" s="22">
        <v>3</v>
      </c>
      <c r="G72" s="78" t="s">
        <v>58</v>
      </c>
    </row>
    <row r="73" spans="1:7" ht="24.75" thickBot="1" x14ac:dyDescent="0.3">
      <c r="A73" s="34"/>
      <c r="B73" s="70" t="s">
        <v>72</v>
      </c>
      <c r="C73" s="23" t="s">
        <v>73</v>
      </c>
      <c r="D73" s="24" t="s">
        <v>113</v>
      </c>
      <c r="E73" s="22">
        <v>24</v>
      </c>
      <c r="F73" s="22">
        <v>2</v>
      </c>
      <c r="G73" s="65" t="s">
        <v>165</v>
      </c>
    </row>
    <row r="74" spans="1:7" ht="15.75" thickBot="1" x14ac:dyDescent="0.3">
      <c r="A74" s="7" t="s">
        <v>66</v>
      </c>
      <c r="B74" s="8"/>
      <c r="C74" s="38" t="s">
        <v>103</v>
      </c>
      <c r="D74" s="59"/>
      <c r="E74" s="60">
        <f>SUM(E70:E73)</f>
        <v>120</v>
      </c>
      <c r="F74" s="60">
        <f>SUM(F70:F73)</f>
        <v>10</v>
      </c>
      <c r="G74" s="44"/>
    </row>
    <row r="75" spans="1:7" ht="25.5" x14ac:dyDescent="0.25">
      <c r="A75" s="16" t="s">
        <v>67</v>
      </c>
      <c r="B75" s="35" t="s">
        <v>68</v>
      </c>
      <c r="C75" s="35" t="s">
        <v>69</v>
      </c>
      <c r="D75" s="37" t="s">
        <v>113</v>
      </c>
      <c r="E75" s="35">
        <v>24</v>
      </c>
      <c r="F75" s="35">
        <v>2</v>
      </c>
      <c r="G75" s="64" t="s">
        <v>165</v>
      </c>
    </row>
    <row r="76" spans="1:7" ht="25.5" x14ac:dyDescent="0.25">
      <c r="A76" s="16" t="s">
        <v>3</v>
      </c>
      <c r="B76" s="18" t="s">
        <v>83</v>
      </c>
      <c r="C76" s="18" t="s">
        <v>171</v>
      </c>
      <c r="D76" s="19" t="s">
        <v>110</v>
      </c>
      <c r="E76" s="18">
        <v>36</v>
      </c>
      <c r="F76" s="18">
        <v>3</v>
      </c>
      <c r="G76" s="63" t="s">
        <v>76</v>
      </c>
    </row>
    <row r="77" spans="1:7" ht="38.25" x14ac:dyDescent="0.25">
      <c r="A77" s="76"/>
      <c r="B77" s="22" t="s">
        <v>118</v>
      </c>
      <c r="C77" s="22" t="s">
        <v>172</v>
      </c>
      <c r="D77" s="24" t="s">
        <v>113</v>
      </c>
      <c r="E77" s="22">
        <v>36</v>
      </c>
      <c r="F77" s="22">
        <v>3</v>
      </c>
      <c r="G77" s="65" t="s">
        <v>169</v>
      </c>
    </row>
    <row r="78" spans="1:7" ht="39" thickBot="1" x14ac:dyDescent="0.3">
      <c r="A78" s="21"/>
      <c r="B78" s="22" t="s">
        <v>174</v>
      </c>
      <c r="C78" s="22" t="s">
        <v>173</v>
      </c>
      <c r="D78" s="24" t="s">
        <v>113</v>
      </c>
      <c r="E78" s="22">
        <v>24</v>
      </c>
      <c r="F78" s="22">
        <v>2</v>
      </c>
      <c r="G78" s="65" t="s">
        <v>22</v>
      </c>
    </row>
    <row r="79" spans="1:7" ht="15.75" thickBot="1" x14ac:dyDescent="0.3">
      <c r="A79" s="27"/>
      <c r="B79" s="28"/>
      <c r="C79" s="38" t="s">
        <v>103</v>
      </c>
      <c r="D79" s="57"/>
      <c r="E79" s="58">
        <f>SUM(E75:E78)</f>
        <v>120</v>
      </c>
      <c r="F79" s="58">
        <f>SUM(F75:F78)</f>
        <v>10</v>
      </c>
      <c r="G79" s="47"/>
    </row>
    <row r="80" spans="1:7" ht="15.75" thickBot="1" x14ac:dyDescent="0.3">
      <c r="A80" s="27"/>
      <c r="B80" s="28"/>
      <c r="C80" s="32" t="s">
        <v>106</v>
      </c>
      <c r="D80" s="55"/>
      <c r="E80" s="56">
        <f>+E79+E74+E69+E64</f>
        <v>480</v>
      </c>
      <c r="F80" s="56">
        <f t="shared" ref="F80" si="4">+F79+F74+F69+F64</f>
        <v>40</v>
      </c>
      <c r="G80" s="44"/>
    </row>
    <row r="81" spans="1:7" ht="18.75" customHeight="1" thickBot="1" x14ac:dyDescent="0.3">
      <c r="A81" s="82" t="s">
        <v>74</v>
      </c>
      <c r="B81" s="83"/>
      <c r="C81" s="83"/>
      <c r="D81" s="83"/>
      <c r="E81" s="83"/>
      <c r="F81" s="83"/>
      <c r="G81" s="84"/>
    </row>
    <row r="82" spans="1:7" ht="25.5" x14ac:dyDescent="0.25">
      <c r="A82" s="16" t="s">
        <v>75</v>
      </c>
      <c r="B82" s="35" t="s">
        <v>116</v>
      </c>
      <c r="C82" s="35" t="s">
        <v>175</v>
      </c>
      <c r="D82" s="37" t="s">
        <v>113</v>
      </c>
      <c r="E82" s="35">
        <v>36</v>
      </c>
      <c r="F82" s="35">
        <v>3</v>
      </c>
      <c r="G82" s="64" t="s">
        <v>72</v>
      </c>
    </row>
    <row r="83" spans="1:7" ht="38.25" x14ac:dyDescent="0.25">
      <c r="A83" s="16" t="s">
        <v>3</v>
      </c>
      <c r="B83" s="18" t="s">
        <v>176</v>
      </c>
      <c r="C83" s="18" t="s">
        <v>177</v>
      </c>
      <c r="D83" s="19" t="s">
        <v>113</v>
      </c>
      <c r="E83" s="18">
        <v>36</v>
      </c>
      <c r="F83" s="18">
        <v>3</v>
      </c>
      <c r="G83" s="64" t="s">
        <v>118</v>
      </c>
    </row>
    <row r="84" spans="1:7" ht="38.25" x14ac:dyDescent="0.25">
      <c r="A84" s="76"/>
      <c r="B84" s="18" t="s">
        <v>63</v>
      </c>
      <c r="C84" s="22" t="s">
        <v>64</v>
      </c>
      <c r="D84" s="24" t="s">
        <v>113</v>
      </c>
      <c r="E84" s="22">
        <v>24</v>
      </c>
      <c r="F84" s="22">
        <v>2</v>
      </c>
      <c r="G84" s="64" t="s">
        <v>165</v>
      </c>
    </row>
    <row r="85" spans="1:7" ht="39" thickBot="1" x14ac:dyDescent="0.3">
      <c r="A85" s="21"/>
      <c r="B85" s="22" t="s">
        <v>84</v>
      </c>
      <c r="C85" s="22" t="s">
        <v>178</v>
      </c>
      <c r="D85" s="24" t="s">
        <v>113</v>
      </c>
      <c r="E85" s="22">
        <v>16</v>
      </c>
      <c r="F85" s="22">
        <v>2</v>
      </c>
      <c r="G85" s="64" t="s">
        <v>179</v>
      </c>
    </row>
    <row r="86" spans="1:7" ht="15.75" thickBot="1" x14ac:dyDescent="0.3">
      <c r="A86" s="9"/>
      <c r="B86" s="10"/>
      <c r="C86" s="38" t="s">
        <v>103</v>
      </c>
      <c r="D86" s="53"/>
      <c r="E86" s="54">
        <f>SUM(E82:E85)</f>
        <v>112</v>
      </c>
      <c r="F86" s="54">
        <f t="shared" ref="F86" si="5">SUM(F82:F85)</f>
        <v>10</v>
      </c>
      <c r="G86" s="44"/>
    </row>
    <row r="87" spans="1:7" x14ac:dyDescent="0.25">
      <c r="A87" s="80" t="s">
        <v>82</v>
      </c>
      <c r="B87" s="35" t="s">
        <v>65</v>
      </c>
      <c r="C87" s="36" t="s">
        <v>81</v>
      </c>
      <c r="D87" s="37" t="s">
        <v>113</v>
      </c>
      <c r="E87" s="35">
        <v>24</v>
      </c>
      <c r="F87" s="35">
        <v>2</v>
      </c>
      <c r="G87" s="64" t="s">
        <v>76</v>
      </c>
    </row>
    <row r="88" spans="1:7" x14ac:dyDescent="0.25">
      <c r="A88" s="80"/>
      <c r="B88" s="18" t="s">
        <v>78</v>
      </c>
      <c r="C88" s="20" t="s">
        <v>180</v>
      </c>
      <c r="D88" s="19" t="s">
        <v>113</v>
      </c>
      <c r="E88" s="18">
        <v>36</v>
      </c>
      <c r="F88" s="18">
        <v>3</v>
      </c>
      <c r="G88" s="64" t="s">
        <v>65</v>
      </c>
    </row>
    <row r="89" spans="1:7" ht="24" x14ac:dyDescent="0.25">
      <c r="A89" s="80"/>
      <c r="B89" s="22" t="s">
        <v>181</v>
      </c>
      <c r="C89" s="23" t="s">
        <v>79</v>
      </c>
      <c r="D89" s="24" t="s">
        <v>113</v>
      </c>
      <c r="E89" s="22">
        <v>24</v>
      </c>
      <c r="F89" s="22">
        <v>2</v>
      </c>
      <c r="G89" s="64" t="s">
        <v>181</v>
      </c>
    </row>
    <row r="90" spans="1:7" ht="24.75" thickBot="1" x14ac:dyDescent="0.3">
      <c r="A90" s="80"/>
      <c r="B90" s="70" t="s">
        <v>80</v>
      </c>
      <c r="C90" s="23" t="s">
        <v>182</v>
      </c>
      <c r="D90" s="24" t="s">
        <v>110</v>
      </c>
      <c r="E90" s="22">
        <v>36</v>
      </c>
      <c r="F90" s="22">
        <v>3</v>
      </c>
      <c r="G90" s="65"/>
    </row>
    <row r="91" spans="1:7" ht="15.75" thickBot="1" x14ac:dyDescent="0.3">
      <c r="A91" s="11"/>
      <c r="B91" s="12"/>
      <c r="C91" s="38" t="s">
        <v>103</v>
      </c>
      <c r="D91" s="51"/>
      <c r="E91" s="52">
        <f>SUM(E87:E90)</f>
        <v>120</v>
      </c>
      <c r="F91" s="52">
        <f>SUM(F87:F90)</f>
        <v>10</v>
      </c>
      <c r="G91" s="44"/>
    </row>
    <row r="92" spans="1:7" ht="25.5" x14ac:dyDescent="0.25">
      <c r="A92" s="80" t="s">
        <v>85</v>
      </c>
      <c r="B92" s="35" t="s">
        <v>86</v>
      </c>
      <c r="C92" s="35" t="s">
        <v>87</v>
      </c>
      <c r="D92" s="37" t="s">
        <v>113</v>
      </c>
      <c r="E92" s="35">
        <v>24</v>
      </c>
      <c r="F92" s="35">
        <v>2</v>
      </c>
      <c r="G92" s="64" t="s">
        <v>88</v>
      </c>
    </row>
    <row r="93" spans="1:7" ht="36" x14ac:dyDescent="0.25">
      <c r="A93" s="80"/>
      <c r="B93" s="18" t="s">
        <v>88</v>
      </c>
      <c r="C93" s="20" t="s">
        <v>89</v>
      </c>
      <c r="D93" s="19" t="s">
        <v>113</v>
      </c>
      <c r="E93" s="18">
        <v>24</v>
      </c>
      <c r="F93" s="18">
        <v>2</v>
      </c>
      <c r="G93" s="63" t="s">
        <v>50</v>
      </c>
    </row>
    <row r="94" spans="1:7" x14ac:dyDescent="0.25">
      <c r="A94" s="80"/>
      <c r="B94" s="22" t="s">
        <v>183</v>
      </c>
      <c r="C94" s="23" t="s">
        <v>71</v>
      </c>
      <c r="D94" s="24" t="s">
        <v>113</v>
      </c>
      <c r="E94" s="22">
        <v>36</v>
      </c>
      <c r="F94" s="22">
        <v>3</v>
      </c>
      <c r="G94" s="65" t="s">
        <v>183</v>
      </c>
    </row>
    <row r="95" spans="1:7" ht="26.25" thickBot="1" x14ac:dyDescent="0.3">
      <c r="A95" s="80"/>
      <c r="B95" s="22" t="s">
        <v>70</v>
      </c>
      <c r="C95" s="22" t="s">
        <v>184</v>
      </c>
      <c r="D95" s="24" t="s">
        <v>113</v>
      </c>
      <c r="E95" s="22">
        <v>36</v>
      </c>
      <c r="F95" s="22">
        <v>3</v>
      </c>
      <c r="G95" s="65" t="s">
        <v>88</v>
      </c>
    </row>
    <row r="96" spans="1:7" ht="15.75" thickBot="1" x14ac:dyDescent="0.3">
      <c r="A96" s="11"/>
      <c r="B96" s="12"/>
      <c r="C96" s="38" t="s">
        <v>103</v>
      </c>
      <c r="D96" s="51"/>
      <c r="E96" s="52">
        <f>SUM(E92:E95)</f>
        <v>120</v>
      </c>
      <c r="F96" s="52">
        <f t="shared" ref="F96" si="6">SUM(F92:F95)</f>
        <v>10</v>
      </c>
      <c r="G96" s="44"/>
    </row>
    <row r="97" spans="1:7" ht="25.5" x14ac:dyDescent="0.25">
      <c r="A97" s="80" t="s">
        <v>92</v>
      </c>
      <c r="B97" s="35" t="s">
        <v>93</v>
      </c>
      <c r="C97" s="35" t="s">
        <v>94</v>
      </c>
      <c r="D97" s="37" t="s">
        <v>113</v>
      </c>
      <c r="E97" s="35">
        <v>24</v>
      </c>
      <c r="F97" s="35">
        <v>2</v>
      </c>
      <c r="G97" s="64" t="s">
        <v>93</v>
      </c>
    </row>
    <row r="98" spans="1:7" x14ac:dyDescent="0.25">
      <c r="A98" s="80"/>
      <c r="B98" s="35" t="s">
        <v>185</v>
      </c>
      <c r="C98" s="35" t="s">
        <v>91</v>
      </c>
      <c r="D98" s="37" t="s">
        <v>113</v>
      </c>
      <c r="E98" s="35">
        <v>36</v>
      </c>
      <c r="F98" s="35">
        <v>3</v>
      </c>
      <c r="G98" s="64" t="s">
        <v>185</v>
      </c>
    </row>
    <row r="99" spans="1:7" x14ac:dyDescent="0.25">
      <c r="A99" s="80"/>
      <c r="B99" s="18" t="s">
        <v>117</v>
      </c>
      <c r="C99" s="18" t="s">
        <v>95</v>
      </c>
      <c r="D99" s="19" t="s">
        <v>113</v>
      </c>
      <c r="E99" s="18">
        <v>24</v>
      </c>
      <c r="F99" s="18">
        <v>2</v>
      </c>
      <c r="G99" s="64" t="s">
        <v>70</v>
      </c>
    </row>
    <row r="100" spans="1:7" ht="24.75" thickBot="1" x14ac:dyDescent="0.3">
      <c r="A100" s="80"/>
      <c r="B100" s="70" t="s">
        <v>186</v>
      </c>
      <c r="C100" s="23" t="s">
        <v>187</v>
      </c>
      <c r="D100" s="24" t="s">
        <v>113</v>
      </c>
      <c r="E100" s="22">
        <v>36</v>
      </c>
      <c r="F100" s="22">
        <v>3</v>
      </c>
      <c r="G100" s="64" t="s">
        <v>90</v>
      </c>
    </row>
    <row r="101" spans="1:7" ht="15.75" thickBot="1" x14ac:dyDescent="0.3">
      <c r="A101" s="40"/>
      <c r="B101" s="41"/>
      <c r="C101" s="38" t="s">
        <v>103</v>
      </c>
      <c r="D101" s="45"/>
      <c r="E101" s="46">
        <f>SUM(E97:E100)</f>
        <v>120</v>
      </c>
      <c r="F101" s="46">
        <f>SUM(F97:F100)</f>
        <v>10</v>
      </c>
      <c r="G101" s="47"/>
    </row>
    <row r="102" spans="1:7" ht="15.75" thickBot="1" x14ac:dyDescent="0.3">
      <c r="A102" s="40"/>
      <c r="B102" s="41"/>
      <c r="C102" s="42" t="s">
        <v>107</v>
      </c>
      <c r="D102" s="45"/>
      <c r="E102" s="46">
        <f>+E101+E96+E91+E86</f>
        <v>472</v>
      </c>
      <c r="F102" s="46">
        <f t="shared" ref="F102" si="7">+F101+F96+F91+F86</f>
        <v>40</v>
      </c>
      <c r="G102" s="47"/>
    </row>
    <row r="103" spans="1:7" ht="15.75" thickBot="1" x14ac:dyDescent="0.3">
      <c r="A103" s="43"/>
      <c r="B103" s="1"/>
      <c r="C103" s="42" t="s">
        <v>108</v>
      </c>
      <c r="D103" s="48"/>
      <c r="E103" s="49">
        <f>+E102+E80+E58+E36</f>
        <v>1780</v>
      </c>
      <c r="F103" s="49">
        <f>+F102+F80+F58+F36</f>
        <v>151</v>
      </c>
      <c r="G103" s="50"/>
    </row>
    <row r="107" spans="1:7" x14ac:dyDescent="0.25">
      <c r="C107" s="6" t="s">
        <v>119</v>
      </c>
      <c r="E107" s="75">
        <v>51</v>
      </c>
    </row>
    <row r="108" spans="1:7" x14ac:dyDescent="0.25">
      <c r="C108" s="6" t="s">
        <v>120</v>
      </c>
      <c r="E108" s="75">
        <v>25</v>
      </c>
    </row>
  </sheetData>
  <mergeCells count="10">
    <mergeCell ref="A97:A100"/>
    <mergeCell ref="A2:G2"/>
    <mergeCell ref="A5:G5"/>
    <mergeCell ref="A6:G6"/>
    <mergeCell ref="A15:G15"/>
    <mergeCell ref="A87:A90"/>
    <mergeCell ref="A92:A95"/>
    <mergeCell ref="A81:G81"/>
    <mergeCell ref="A59:G59"/>
    <mergeCell ref="A37:G37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Hoja1!_Hlk70079310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2024-12-11T17:32:01Z</dcterms:created>
  <dcterms:modified xsi:type="dcterms:W3CDTF">2025-08-19T19:17:25Z</dcterms:modified>
</cp:coreProperties>
</file>